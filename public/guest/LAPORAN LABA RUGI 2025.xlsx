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 (2)" sheetId="1" r:id="rId5"/>
    <sheet state="visible" name="FEB (2)" sheetId="2" r:id="rId6"/>
    <sheet state="visible" name="MARET (2)" sheetId="3" r:id="rId7"/>
    <sheet state="visible" name="APRIL (2)" sheetId="4" r:id="rId8"/>
    <sheet state="visible" name="MEI" sheetId="5" r:id="rId9"/>
    <sheet state="visible" name="Sheet2" sheetId="6" r:id="rId10"/>
    <sheet state="visible" name="Sheet3" sheetId="7" r:id="rId11"/>
  </sheets>
  <definedNames/>
  <calcPr/>
</workbook>
</file>

<file path=xl/sharedStrings.xml><?xml version="1.0" encoding="utf-8"?>
<sst xmlns="http://schemas.openxmlformats.org/spreadsheetml/2006/main" count="93" uniqueCount="28">
  <si>
    <t>LAPORAN LABA RUGI PER JANUARI 2025</t>
  </si>
  <si>
    <t>LAPORAN LABA RUGI PER MARET 2025</t>
  </si>
  <si>
    <t>LAPORAN LABA RUGI PER FEBRUARI 2025</t>
  </si>
  <si>
    <t>LAPORAN LABA RUGI PER APRIL 2025</t>
  </si>
  <si>
    <t>PERIODE 1 - 31 JANUARY 2025</t>
  </si>
  <si>
    <t>PERIODE 1 - 28 FEBRUARY 2025</t>
  </si>
  <si>
    <t>PERIODE 1 - 31 MARET 2025</t>
  </si>
  <si>
    <t>PERIODE 1 - 30 APRIL 2025</t>
  </si>
  <si>
    <t>OMSET</t>
  </si>
  <si>
    <t>PERSEDIAAN AWAL</t>
  </si>
  <si>
    <t>PEMBELIAN</t>
  </si>
  <si>
    <t>PERSEDIAAN AKHIR</t>
  </si>
  <si>
    <t>HPP</t>
  </si>
  <si>
    <t>LABA KOTOR</t>
  </si>
  <si>
    <t>BIAYA OPERASIONAL</t>
  </si>
  <si>
    <t>GAJI KARYAWAN</t>
  </si>
  <si>
    <t xml:space="preserve">TABUNGAN </t>
  </si>
  <si>
    <t>BIAYA HARIAN</t>
  </si>
  <si>
    <t>BIAYA ADMINISTRASI BANK</t>
  </si>
  <si>
    <t>LISTRIK</t>
  </si>
  <si>
    <t>tabungan</t>
  </si>
  <si>
    <t>TOTAL BIAYA</t>
  </si>
  <si>
    <t xml:space="preserve">BIAYA ADMINISTRASI BANK </t>
  </si>
  <si>
    <t>BIASA SEWA</t>
  </si>
  <si>
    <t>LABA/RUGI BERSIH</t>
  </si>
  <si>
    <t>LAPORAN LABA RUGI PER MEI 2025</t>
  </si>
  <si>
    <t>PERIODE 1 - 31 MEI 2025</t>
  </si>
  <si>
    <t>BELUM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</si>
</sst>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p&quot;#,##0;[Red]&quot;Rp&quot;#,##0"/>
    <numFmt numFmtId="165" formatCode="&quot;Rp&quot;#,##0"/>
    <numFmt numFmtId="166" formatCode="#,##0;[Red]#,##0"/>
    <numFmt numFmtId="167" formatCode="_-* #,##0_-;\-* #,##0_-;_-* &quot;-&quot;_-;_-@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1" fillId="0" fontId="1" numFmtId="165" xfId="0" applyBorder="1" applyFont="1" applyNumberFormat="1"/>
    <xf borderId="0" fillId="0" fontId="1" numFmtId="166" xfId="0" applyFont="1" applyNumberFormat="1"/>
    <xf borderId="0" fillId="0" fontId="1" numFmtId="167" xfId="0" applyFont="1" applyNumberFormat="1"/>
    <xf borderId="1" fillId="0" fontId="1" numFmtId="0" xfId="0" applyBorder="1" applyFont="1"/>
    <xf borderId="0" fillId="0" fontId="2" numFmtId="0" xfId="0" applyFont="1"/>
    <xf borderId="2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3.57"/>
    <col customWidth="1" min="3" max="3" width="13.29"/>
    <col customWidth="1" min="4" max="4" width="9.14"/>
    <col customWidth="1" min="5" max="5" width="14.0"/>
    <col customWidth="1" min="6" max="6" width="9.14"/>
    <col customWidth="1" min="7" max="7" width="12.43"/>
    <col customWidth="1" min="8" max="8" width="9.14"/>
    <col customWidth="1" min="9" max="9" width="13.57"/>
    <col customWidth="1" min="10" max="26" width="8.71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8</v>
      </c>
      <c r="B4" s="2"/>
      <c r="C4" s="3">
        <v>2.7017689E7</v>
      </c>
      <c r="D4" s="2"/>
      <c r="E4" s="2">
        <v>6.724607E7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9</v>
      </c>
      <c r="B5" s="4">
        <v>1.10747329E8</v>
      </c>
      <c r="C5" s="4"/>
      <c r="D5" s="2"/>
      <c r="E5" s="4">
        <v>1.10747329E8</v>
      </c>
      <c r="F5" s="2"/>
      <c r="G5" s="2"/>
      <c r="H5" s="2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10</v>
      </c>
      <c r="B6" s="4">
        <v>2.623E7</v>
      </c>
      <c r="C6" s="4"/>
      <c r="D6" s="2"/>
      <c r="E6" s="4" t="str">
        <f>[1]Sheet1!$H$120</f>
        <v>#ERROR!</v>
      </c>
      <c r="F6" s="2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11</v>
      </c>
      <c r="B7" s="5">
        <f>107492052-12524467-127754</f>
        <v>94839831</v>
      </c>
      <c r="C7" s="4"/>
      <c r="D7" s="2"/>
      <c r="E7" s="4">
        <v>1.07492052E8</v>
      </c>
      <c r="F7" s="2"/>
      <c r="G7" s="4"/>
      <c r="H7" s="2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12</v>
      </c>
      <c r="B9" s="2"/>
      <c r="C9" s="5">
        <f>B5+B6-B7</f>
        <v>42137498</v>
      </c>
      <c r="D9" s="2"/>
      <c r="E9" s="4" t="str">
        <f>E5+E6-E7</f>
        <v>#ERROR!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6"/>
      <c r="D10" s="2"/>
      <c r="E10" s="2"/>
      <c r="F10" s="2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13</v>
      </c>
      <c r="B11" s="2"/>
      <c r="C11" s="4">
        <f>C4-C9</f>
        <v>-15119809</v>
      </c>
      <c r="D11" s="2"/>
      <c r="E11" s="4" t="str">
        <f>E4-E9</f>
        <v>#ERROR!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14</v>
      </c>
      <c r="B13" s="2"/>
      <c r="C13" s="2"/>
      <c r="D13" s="2"/>
      <c r="E13" s="2"/>
      <c r="F13" s="2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15</v>
      </c>
      <c r="B14" s="4">
        <v>7200000.0</v>
      </c>
      <c r="C14" s="2"/>
      <c r="D14" s="2"/>
      <c r="E14" s="4">
        <v>7200000.0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15</v>
      </c>
      <c r="B15" s="4">
        <v>6200000.0</v>
      </c>
      <c r="C15" s="2"/>
      <c r="D15" s="2"/>
      <c r="E15" s="4">
        <v>6200000.0</v>
      </c>
      <c r="F15" s="2" t="s">
        <v>16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17</v>
      </c>
      <c r="B16" s="4">
        <v>1215000.0</v>
      </c>
      <c r="C16" s="2"/>
      <c r="D16" s="2"/>
      <c r="E16" s="4">
        <v>1215000.0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18</v>
      </c>
      <c r="B17" s="4">
        <v>30000.0</v>
      </c>
      <c r="C17" s="2"/>
      <c r="D17" s="2"/>
      <c r="E17" s="4">
        <v>30000.0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19</v>
      </c>
      <c r="B18" s="4">
        <v>380000.0</v>
      </c>
      <c r="C18" s="2"/>
      <c r="D18" s="2"/>
      <c r="E18" s="4">
        <v>380000.0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4"/>
      <c r="C19" s="2"/>
      <c r="D19" s="2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4"/>
      <c r="C20" s="2"/>
      <c r="D20" s="2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21</v>
      </c>
      <c r="B22" s="4"/>
      <c r="C22" s="4">
        <f>B14+B15+B16+B17+B18</f>
        <v>15025000</v>
      </c>
      <c r="D22" s="2"/>
      <c r="E22" s="4">
        <f>C22</f>
        <v>15025000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4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4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23</v>
      </c>
      <c r="B25" s="4"/>
      <c r="C25" s="4">
        <v>583333.3333333334</v>
      </c>
      <c r="D25" s="2"/>
      <c r="E25" s="2">
        <v>583333.0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4"/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24</v>
      </c>
      <c r="B28" s="2"/>
      <c r="C28" s="4">
        <f>C11-C22-C25</f>
        <v>-30728142.33</v>
      </c>
      <c r="D28" s="2"/>
      <c r="E28" s="4" t="str">
        <f>E11-E22-E25</f>
        <v>#ERROR!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C1"/>
    <mergeCell ref="A2:C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3.57"/>
    <col customWidth="1" min="3" max="3" width="13.29"/>
    <col customWidth="1" min="4" max="4" width="9.14"/>
    <col customWidth="1" min="5" max="5" width="14.0"/>
    <col customWidth="1" min="6" max="6" width="9.14"/>
    <col customWidth="1" min="7" max="26" width="8.71"/>
  </cols>
  <sheetData>
    <row r="1">
      <c r="A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8</v>
      </c>
      <c r="B4" s="2"/>
      <c r="C4" s="3">
        <v>5.4867443E7</v>
      </c>
      <c r="D4" s="2"/>
      <c r="E4" s="2">
        <v>6.46311E7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9</v>
      </c>
      <c r="B5" s="4">
        <f>107492052-12524467</f>
        <v>94967585</v>
      </c>
      <c r="C5" s="4"/>
      <c r="D5" s="2"/>
      <c r="E5" s="4">
        <v>1.07492052E8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10</v>
      </c>
      <c r="B6" s="4">
        <v>5.3269362E7</v>
      </c>
      <c r="C6" s="4"/>
      <c r="D6" s="2"/>
      <c r="E6" s="4">
        <v>7.3663789E7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11</v>
      </c>
      <c r="B7" s="5">
        <f>124489632-11221300-2589273</f>
        <v>110679059</v>
      </c>
      <c r="C7" s="4"/>
      <c r="D7" s="2"/>
      <c r="E7" s="4">
        <v>1.2448963245E8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12</v>
      </c>
      <c r="B9" s="2"/>
      <c r="C9" s="5">
        <f>B5+B6-B7</f>
        <v>37557888</v>
      </c>
      <c r="D9" s="2"/>
      <c r="E9" s="4">
        <f>E5+E6-E7</f>
        <v>56666208.55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13</v>
      </c>
      <c r="B11" s="2"/>
      <c r="C11" s="4">
        <f>C4-C9</f>
        <v>17309555</v>
      </c>
      <c r="D11" s="2"/>
      <c r="E11" s="4">
        <f>E4-E9</f>
        <v>7964891.45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15</v>
      </c>
      <c r="B14" s="4">
        <v>7170000.0</v>
      </c>
      <c r="C14" s="2"/>
      <c r="D14" s="2"/>
      <c r="E14" s="4">
        <v>7170000.0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15</v>
      </c>
      <c r="B15" s="4">
        <v>5600000.0</v>
      </c>
      <c r="C15" s="2"/>
      <c r="D15" s="2"/>
      <c r="E15" s="4">
        <v>5600000.0</v>
      </c>
      <c r="F15" s="2" t="s">
        <v>16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17</v>
      </c>
      <c r="B16" s="4">
        <v>1171000.0</v>
      </c>
      <c r="C16" s="2"/>
      <c r="D16" s="2"/>
      <c r="E16" s="4">
        <v>1171000.0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18</v>
      </c>
      <c r="B17" s="4">
        <v>30000.0</v>
      </c>
      <c r="C17" s="2"/>
      <c r="D17" s="2"/>
      <c r="E17" s="4">
        <v>30000.0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19</v>
      </c>
      <c r="B18" s="4">
        <v>189050.0</v>
      </c>
      <c r="C18" s="2"/>
      <c r="D18" s="2"/>
      <c r="E18" s="4">
        <v>189050.0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21</v>
      </c>
      <c r="B22" s="4"/>
      <c r="C22" s="4">
        <f>B14+B15+B16+B17+B18</f>
        <v>14160050</v>
      </c>
      <c r="D22" s="2"/>
      <c r="E22" s="4">
        <f>C22</f>
        <v>14160050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4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4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23</v>
      </c>
      <c r="B25" s="4"/>
      <c r="C25" s="4">
        <v>583333.3333333334</v>
      </c>
      <c r="D25" s="2"/>
      <c r="E25" s="2">
        <v>583333.0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4"/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8"/>
      <c r="D27" s="2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24</v>
      </c>
      <c r="B28" s="2"/>
      <c r="C28" s="4">
        <f>C11-C22-C25</f>
        <v>2566171.667</v>
      </c>
      <c r="D28" s="2"/>
      <c r="E28" s="4">
        <f>E11-E22-E25</f>
        <v>-6778491.55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C1"/>
    <mergeCell ref="A2:C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3.57"/>
    <col customWidth="1" min="3" max="3" width="13.29"/>
    <col customWidth="1" min="4" max="4" width="9.14"/>
    <col customWidth="1" min="5" max="5" width="14.0"/>
    <col customWidth="1" min="6" max="6" width="9.14"/>
    <col customWidth="1" min="7" max="26" width="8.71"/>
  </cols>
  <sheetData>
    <row r="1">
      <c r="A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8</v>
      </c>
      <c r="B4" s="2"/>
      <c r="C4" s="3">
        <v>2.6555052E7</v>
      </c>
      <c r="D4" s="2"/>
      <c r="E4" s="2">
        <v>6.228445E7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9</v>
      </c>
      <c r="B5" s="4">
        <f>'FEB (2)'!B7</f>
        <v>110679059</v>
      </c>
      <c r="C5" s="4"/>
      <c r="D5" s="2"/>
      <c r="E5" s="4">
        <f>'FEB (2)'!E7</f>
        <v>124489632.5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10</v>
      </c>
      <c r="B6" s="4">
        <v>2.5781604E7</v>
      </c>
      <c r="C6" s="4"/>
      <c r="D6" s="2"/>
      <c r="E6" s="4">
        <v>3.5788993E7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11</v>
      </c>
      <c r="B7" s="5">
        <f>117244670.63-6534900-276999.84</f>
        <v>110432770.8</v>
      </c>
      <c r="C7" s="4"/>
      <c r="D7" s="2"/>
      <c r="E7" s="4">
        <v>1.1724467E8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12</v>
      </c>
      <c r="B9" s="2"/>
      <c r="C9" s="5">
        <f>B5+B6-B7</f>
        <v>26027892.21</v>
      </c>
      <c r="D9" s="2"/>
      <c r="E9" s="4">
        <f>E5+E6-E7</f>
        <v>43033955.45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13</v>
      </c>
      <c r="B11" s="2"/>
      <c r="C11" s="4">
        <f>C4-C9</f>
        <v>527159.79</v>
      </c>
      <c r="D11" s="2"/>
      <c r="E11" s="4">
        <f>E4-E9</f>
        <v>19250494.55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15</v>
      </c>
      <c r="B14" s="4">
        <v>9725000.0</v>
      </c>
      <c r="C14" s="2"/>
      <c r="D14" s="2"/>
      <c r="E14" s="4">
        <v>9725000.0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15</v>
      </c>
      <c r="B15" s="4">
        <v>6000000.0</v>
      </c>
      <c r="C15" s="2"/>
      <c r="D15" s="2"/>
      <c r="E15" s="4">
        <v>6000000.0</v>
      </c>
      <c r="F15" s="2" t="s">
        <v>20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17</v>
      </c>
      <c r="B16" s="4">
        <v>1986600.0</v>
      </c>
      <c r="C16" s="2"/>
      <c r="D16" s="2"/>
      <c r="E16" s="4">
        <v>1986600.0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18</v>
      </c>
      <c r="B17" s="4">
        <v>30000.0</v>
      </c>
      <c r="C17" s="2"/>
      <c r="D17" s="2"/>
      <c r="E17" s="4">
        <v>30000.0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19</v>
      </c>
      <c r="B18" s="4">
        <v>305000.0</v>
      </c>
      <c r="C18" s="2"/>
      <c r="D18" s="2"/>
      <c r="E18" s="4">
        <v>305000.0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21</v>
      </c>
      <c r="B23" s="4"/>
      <c r="C23" s="4">
        <f>B14+B15+B16+B17+B18</f>
        <v>18046600</v>
      </c>
      <c r="D23" s="2"/>
      <c r="E23" s="4">
        <f>E14+E15+E16+E17+E18</f>
        <v>18046600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4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4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23</v>
      </c>
      <c r="B26" s="4"/>
      <c r="C26" s="4">
        <v>583333.3333333334</v>
      </c>
      <c r="D26" s="2"/>
      <c r="E26" s="2">
        <v>583333.0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4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8"/>
      <c r="D28" s="2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24</v>
      </c>
      <c r="B29" s="2"/>
      <c r="C29" s="4">
        <f>C11-C23-C26</f>
        <v>-18102773.54</v>
      </c>
      <c r="D29" s="2"/>
      <c r="E29" s="4">
        <f>E11-E23-E26</f>
        <v>620561.55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C1"/>
    <mergeCell ref="A2:C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3.57"/>
    <col customWidth="1" min="3" max="3" width="13.29"/>
    <col customWidth="1" min="4" max="4" width="9.14"/>
    <col customWidth="1" min="5" max="5" width="14.0"/>
    <col customWidth="1" min="6" max="6" width="9.14"/>
    <col customWidth="1" min="7" max="26" width="8.71"/>
  </cols>
  <sheetData>
    <row r="1">
      <c r="A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8</v>
      </c>
      <c r="B4" s="2"/>
      <c r="C4" s="3">
        <v>5.1982184E7</v>
      </c>
      <c r="D4" s="2"/>
      <c r="E4" s="2">
        <v>8.5547165E7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9</v>
      </c>
      <c r="B5" s="4">
        <f>'FEB (2)'!B7</f>
        <v>110679059</v>
      </c>
      <c r="C5" s="4"/>
      <c r="D5" s="2"/>
      <c r="E5" s="4">
        <f>'MARET (2)'!E7</f>
        <v>117244670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10</v>
      </c>
      <c r="B6" s="4">
        <v>5.0468139E7</v>
      </c>
      <c r="C6" s="4"/>
      <c r="D6" s="2"/>
      <c r="E6" s="4">
        <v>6.596054E7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11</v>
      </c>
      <c r="B7" s="5" t="str">
        <f>'MARET (2)'!B7-[2]Sheet1!$F$161-[2]Sheet1!$F$162</f>
        <v>#ERROR!</v>
      </c>
      <c r="C7" s="4"/>
      <c r="D7" s="2"/>
      <c r="E7" s="5">
        <v>1.07364209E8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12</v>
      </c>
      <c r="B9" s="2"/>
      <c r="C9" s="5" t="str">
        <f>B5+B6-B7</f>
        <v>#ERROR!</v>
      </c>
      <c r="D9" s="2"/>
      <c r="E9" s="5">
        <f>E5+E6-E7</f>
        <v>75841001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13</v>
      </c>
      <c r="B11" s="2"/>
      <c r="C11" s="4" t="str">
        <f>C4-C9</f>
        <v>#ERROR!</v>
      </c>
      <c r="D11" s="2"/>
      <c r="E11" s="4">
        <f>E4-E9</f>
        <v>9706164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15</v>
      </c>
      <c r="B14" s="4">
        <v>9049000.0</v>
      </c>
      <c r="C14" s="2"/>
      <c r="D14" s="2"/>
      <c r="E14" s="4">
        <v>9725000.0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15</v>
      </c>
      <c r="B15" s="4">
        <v>6000000.0</v>
      </c>
      <c r="C15" s="2"/>
      <c r="D15" s="2"/>
      <c r="E15" s="4">
        <v>6000000.0</v>
      </c>
      <c r="F15" s="2" t="s">
        <v>20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17</v>
      </c>
      <c r="B16" s="4">
        <v>1099200.0</v>
      </c>
      <c r="C16" s="2"/>
      <c r="D16" s="2"/>
      <c r="E16" s="4">
        <v>1099200.0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18</v>
      </c>
      <c r="B17" s="4">
        <v>30000.0</v>
      </c>
      <c r="C17" s="2"/>
      <c r="D17" s="2"/>
      <c r="E17" s="4">
        <v>30000.0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19</v>
      </c>
      <c r="B18" s="4">
        <v>361500.0</v>
      </c>
      <c r="C18" s="2"/>
      <c r="D18" s="2"/>
      <c r="E18" s="4">
        <v>361500.0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22</v>
      </c>
      <c r="B19" s="4">
        <v>30000.0</v>
      </c>
      <c r="C19" s="2"/>
      <c r="D19" s="2"/>
      <c r="E19" s="4">
        <v>300000.0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21</v>
      </c>
      <c r="B23" s="4"/>
      <c r="C23" s="4">
        <f>B14+B15+B16+B17+B18+B19</f>
        <v>16569700</v>
      </c>
      <c r="D23" s="2"/>
      <c r="E23" s="4">
        <f>E14+E15+E16+E17+E18</f>
        <v>17215700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4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4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23</v>
      </c>
      <c r="B26" s="4"/>
      <c r="C26" s="4">
        <v>583333.3333333334</v>
      </c>
      <c r="D26" s="2"/>
      <c r="E26" s="2">
        <v>583333.0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4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8"/>
      <c r="D28" s="2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24</v>
      </c>
      <c r="B29" s="2"/>
      <c r="C29" s="4" t="str">
        <f>C11-C23-C26</f>
        <v>#ERROR!</v>
      </c>
      <c r="D29" s="2"/>
      <c r="E29" s="4">
        <f>E11-E23-E26</f>
        <v>-8092869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C1"/>
    <mergeCell ref="A2:C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3.57"/>
    <col customWidth="1" min="3" max="3" width="13.29"/>
    <col customWidth="1" min="4" max="4" width="8.71"/>
    <col customWidth="1" min="5" max="5" width="14.0"/>
    <col customWidth="1" min="6" max="26" width="8.71"/>
  </cols>
  <sheetData>
    <row r="1">
      <c r="A1" s="1" t="s">
        <v>25</v>
      </c>
    </row>
    <row r="2">
      <c r="A2" s="1" t="s">
        <v>26</v>
      </c>
    </row>
    <row r="4">
      <c r="A4" s="2" t="s">
        <v>8</v>
      </c>
      <c r="B4" s="2"/>
      <c r="C4" s="3">
        <v>5.1982184E7</v>
      </c>
      <c r="E4" s="9">
        <v>8.5547165E7</v>
      </c>
    </row>
    <row r="5">
      <c r="A5" s="2" t="s">
        <v>9</v>
      </c>
      <c r="B5" s="4">
        <f>'FEB (2)'!B7</f>
        <v>110679059</v>
      </c>
      <c r="C5" s="4"/>
      <c r="E5" s="4">
        <f>'MARET (2)'!E7</f>
        <v>117244670</v>
      </c>
      <c r="F5" s="2"/>
      <c r="G5" s="10" t="s">
        <v>27</v>
      </c>
    </row>
    <row r="6">
      <c r="A6" s="2" t="s">
        <v>10</v>
      </c>
      <c r="B6" s="4">
        <v>5.0468139E7</v>
      </c>
      <c r="C6" s="4"/>
      <c r="E6" s="4">
        <v>6.596054E7</v>
      </c>
    </row>
    <row r="7">
      <c r="A7" s="2" t="s">
        <v>11</v>
      </c>
      <c r="B7" s="5" t="str">
        <f>'MARET (2)'!B7-[2]Sheet1!$F$161-[2]Sheet1!$F$162</f>
        <v>#ERROR!</v>
      </c>
      <c r="C7" s="4"/>
      <c r="E7" s="5">
        <v>1.07364209E8</v>
      </c>
    </row>
    <row r="8">
      <c r="A8" s="2"/>
      <c r="B8" s="2"/>
      <c r="C8" s="4"/>
      <c r="E8" s="2"/>
      <c r="F8" s="2"/>
    </row>
    <row r="9">
      <c r="A9" s="2" t="s">
        <v>12</v>
      </c>
      <c r="B9" s="2"/>
      <c r="C9" s="5" t="str">
        <f>B5+B6-B7</f>
        <v>#ERROR!</v>
      </c>
      <c r="E9" s="5">
        <f>E5+E6-E7</f>
        <v>75841001</v>
      </c>
    </row>
    <row r="10">
      <c r="A10" s="2"/>
      <c r="B10" s="2"/>
      <c r="C10" s="6"/>
    </row>
    <row r="11">
      <c r="A11" s="2" t="s">
        <v>13</v>
      </c>
      <c r="B11" s="2"/>
      <c r="C11" s="4" t="str">
        <f>C4-C9</f>
        <v>#ERROR!</v>
      </c>
      <c r="E11" s="4">
        <f>E4-E9</f>
        <v>9706164</v>
      </c>
    </row>
    <row r="13">
      <c r="A13" s="2" t="s">
        <v>14</v>
      </c>
      <c r="B13" s="2"/>
      <c r="C13" s="2"/>
    </row>
    <row r="14">
      <c r="A14" s="2" t="s">
        <v>15</v>
      </c>
      <c r="B14" s="4">
        <v>9049000.0</v>
      </c>
      <c r="C14" s="2"/>
      <c r="E14" s="4">
        <v>9725000.0</v>
      </c>
    </row>
    <row r="15">
      <c r="A15" s="2" t="s">
        <v>15</v>
      </c>
      <c r="B15" s="4">
        <v>6000000.0</v>
      </c>
      <c r="C15" s="2"/>
      <c r="D15" s="2"/>
      <c r="E15" s="4">
        <v>6000000.0</v>
      </c>
      <c r="F15" s="2" t="s">
        <v>20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17</v>
      </c>
      <c r="B16" s="4">
        <v>1099200.0</v>
      </c>
      <c r="C16" s="2"/>
      <c r="E16" s="4">
        <v>1099200.0</v>
      </c>
    </row>
    <row r="17">
      <c r="A17" s="2" t="s">
        <v>18</v>
      </c>
      <c r="B17" s="4">
        <v>30000.0</v>
      </c>
      <c r="C17" s="2"/>
      <c r="E17" s="4">
        <v>30000.0</v>
      </c>
    </row>
    <row r="18">
      <c r="A18" s="2" t="s">
        <v>19</v>
      </c>
      <c r="B18" s="4">
        <v>361500.0</v>
      </c>
      <c r="C18" s="2"/>
      <c r="E18" s="4">
        <v>361500.0</v>
      </c>
    </row>
    <row r="19">
      <c r="A19" s="2" t="s">
        <v>22</v>
      </c>
      <c r="B19" s="4">
        <v>30000.0</v>
      </c>
      <c r="C19" s="2"/>
      <c r="D19" s="2"/>
      <c r="E19" s="4">
        <v>300000.0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4"/>
      <c r="C22" s="2"/>
    </row>
    <row r="23" ht="15.75" customHeight="1">
      <c r="A23" s="2" t="s">
        <v>21</v>
      </c>
      <c r="B23" s="4"/>
      <c r="C23" s="4">
        <f>B14+B15+B16+B17+B18+B19</f>
        <v>16569700</v>
      </c>
      <c r="E23" s="4">
        <f>E14+E15+E16+E17+E18</f>
        <v>17215700</v>
      </c>
    </row>
    <row r="24" ht="15.75" customHeight="1">
      <c r="A24" s="2"/>
      <c r="B24" s="4"/>
      <c r="C24" s="4"/>
    </row>
    <row r="25" ht="15.75" customHeight="1">
      <c r="A25" s="2"/>
      <c r="B25" s="4"/>
      <c r="C25" s="4"/>
    </row>
    <row r="26" ht="15.75" customHeight="1">
      <c r="A26" s="2" t="s">
        <v>23</v>
      </c>
      <c r="B26" s="4"/>
      <c r="C26" s="4">
        <v>583333.3333333334</v>
      </c>
      <c r="E26" s="9">
        <v>583333.0</v>
      </c>
    </row>
    <row r="27" ht="15.75" customHeight="1">
      <c r="A27" s="2"/>
      <c r="B27" s="4"/>
      <c r="C27" s="4"/>
    </row>
    <row r="28" ht="15.75" customHeight="1">
      <c r="A28" s="2"/>
      <c r="B28" s="2"/>
      <c r="C28" s="8"/>
      <c r="E28" s="8"/>
    </row>
    <row r="29" ht="15.75" customHeight="1">
      <c r="A29" s="2" t="s">
        <v>24</v>
      </c>
      <c r="B29" s="2"/>
      <c r="C29" s="4" t="str">
        <f>C11-C23-C26</f>
        <v>#ERROR!</v>
      </c>
      <c r="E29" s="4">
        <f>E11-E23-E26</f>
        <v>-8092869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